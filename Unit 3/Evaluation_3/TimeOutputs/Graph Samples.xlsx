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e358a92d951fd/Code/PythonCs/Sorting Unit/"/>
    </mc:Choice>
  </mc:AlternateContent>
  <xr:revisionPtr revIDLastSave="156" documentId="8_{EFA1B122-C4F0-43D7-81CF-82AC15C27AF0}" xr6:coauthVersionLast="47" xr6:coauthVersionMax="47" xr10:uidLastSave="{9EF7CCE0-EEB1-4F16-A494-F414A9D441A6}"/>
  <bookViews>
    <workbookView xWindow="-28920" yWindow="0" windowWidth="29040" windowHeight="17640" xr2:uid="{0A3947D3-E52E-4DBF-BA3F-B75719C4A5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6" i="1"/>
  <c r="D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B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7" i="1"/>
</calcChain>
</file>

<file path=xl/sharedStrings.xml><?xml version="1.0" encoding="utf-8"?>
<sst xmlns="http://schemas.openxmlformats.org/spreadsheetml/2006/main" count="10" uniqueCount="8">
  <si>
    <t>N</t>
  </si>
  <si>
    <t>O(n)</t>
  </si>
  <si>
    <t>O(n^2)</t>
  </si>
  <si>
    <t>Scales</t>
  </si>
  <si>
    <t>Best (ms)</t>
  </si>
  <si>
    <t>Average (ms)</t>
  </si>
  <si>
    <t>Worst( ms)</t>
  </si>
  <si>
    <t>Perf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</si>
</sst>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Best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O(n)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Sheet1!$B$6:$B$20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</c:numCache>
            </c:numRef>
          </c:cat>
          <c:val>
            <c:numRef>
              <c:f>Sheet1!$C$6:$C$20</c:f>
              <c:numCache>
                <c:formatCode>General</c:formatCode>
                <c:ptCount val="15"/>
                <c:pt idx="0">
                  <c:v>3600</c:v>
                </c:pt>
                <c:pt idx="1">
                  <c:v>7200</c:v>
                </c:pt>
                <c:pt idx="2">
                  <c:v>10800</c:v>
                </c:pt>
                <c:pt idx="3">
                  <c:v>14400</c:v>
                </c:pt>
                <c:pt idx="4">
                  <c:v>18000</c:v>
                </c:pt>
                <c:pt idx="5">
                  <c:v>21600</c:v>
                </c:pt>
                <c:pt idx="6">
                  <c:v>25200</c:v>
                </c:pt>
                <c:pt idx="7">
                  <c:v>28800</c:v>
                </c:pt>
                <c:pt idx="8">
                  <c:v>32400</c:v>
                </c:pt>
                <c:pt idx="9">
                  <c:v>36000</c:v>
                </c:pt>
                <c:pt idx="10">
                  <c:v>39600</c:v>
                </c:pt>
                <c:pt idx="11">
                  <c:v>43200</c:v>
                </c:pt>
                <c:pt idx="12">
                  <c:v>46800</c:v>
                </c:pt>
                <c:pt idx="13">
                  <c:v>50400</c:v>
                </c:pt>
                <c:pt idx="14">
                  <c:v>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5-4F9C-96CC-5898A635C8F0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Best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Sheet1!$B$6:$B$20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</c:numCache>
            </c:numRef>
          </c:cat>
          <c:val>
            <c:numRef>
              <c:f>Sheet1!$E$6:$E$20</c:f>
              <c:numCache>
                <c:formatCode>General</c:formatCode>
                <c:ptCount val="15"/>
                <c:pt idx="0">
                  <c:v>1584</c:v>
                </c:pt>
                <c:pt idx="1">
                  <c:v>5870</c:v>
                </c:pt>
                <c:pt idx="2">
                  <c:v>5551</c:v>
                </c:pt>
                <c:pt idx="3">
                  <c:v>17486</c:v>
                </c:pt>
                <c:pt idx="4">
                  <c:v>10943</c:v>
                </c:pt>
                <c:pt idx="5">
                  <c:v>22060</c:v>
                </c:pt>
                <c:pt idx="6">
                  <c:v>30304</c:v>
                </c:pt>
                <c:pt idx="7">
                  <c:v>20249</c:v>
                </c:pt>
                <c:pt idx="8">
                  <c:v>37855</c:v>
                </c:pt>
                <c:pt idx="9">
                  <c:v>36558</c:v>
                </c:pt>
                <c:pt idx="10">
                  <c:v>47190</c:v>
                </c:pt>
                <c:pt idx="11">
                  <c:v>40431</c:v>
                </c:pt>
                <c:pt idx="12">
                  <c:v>39873</c:v>
                </c:pt>
                <c:pt idx="13">
                  <c:v>42217</c:v>
                </c:pt>
                <c:pt idx="14">
                  <c:v>55198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5-4F9C-96CC-5898A635C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687375"/>
        <c:axId val="1223688335"/>
      </c:lineChart>
      <c:catAx>
        <c:axId val="122368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Elements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88335"/>
        <c:crosses val="autoZero"/>
        <c:auto val="1"/>
        <c:lblAlgn val="ctr"/>
        <c:lblOffset val="100"/>
        <c:noMultiLvlLbl val="0"/>
      </c:catAx>
      <c:valAx>
        <c:axId val="122368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</a:t>
                </a:r>
                <a:r>
                  <a:rPr lang="en-CA" baseline="0"/>
                  <a:t>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8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Case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O(n^2)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Sheet1!$B$6:$B$20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</c:numCache>
            </c:numRef>
          </c:cat>
          <c:val>
            <c:numRef>
              <c:f>Sheet1!$D$6:$D$20</c:f>
              <c:numCache>
                <c:formatCode>General</c:formatCode>
                <c:ptCount val="15"/>
                <c:pt idx="0">
                  <c:v>200</c:v>
                </c:pt>
                <c:pt idx="1">
                  <c:v>800</c:v>
                </c:pt>
                <c:pt idx="2">
                  <c:v>1800</c:v>
                </c:pt>
                <c:pt idx="3">
                  <c:v>3200</c:v>
                </c:pt>
                <c:pt idx="4">
                  <c:v>5000</c:v>
                </c:pt>
                <c:pt idx="5">
                  <c:v>7200</c:v>
                </c:pt>
                <c:pt idx="6">
                  <c:v>9800</c:v>
                </c:pt>
                <c:pt idx="7">
                  <c:v>12800</c:v>
                </c:pt>
                <c:pt idx="8">
                  <c:v>16200</c:v>
                </c:pt>
                <c:pt idx="9">
                  <c:v>20000</c:v>
                </c:pt>
                <c:pt idx="10">
                  <c:v>24200</c:v>
                </c:pt>
                <c:pt idx="11">
                  <c:v>28800</c:v>
                </c:pt>
                <c:pt idx="12">
                  <c:v>33800</c:v>
                </c:pt>
                <c:pt idx="13">
                  <c:v>39200</c:v>
                </c:pt>
                <c:pt idx="14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9-47EA-8B46-FC1C863463D3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Average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Sheet1!$B$6:$B$20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</c:numCache>
            </c:numRef>
          </c:cat>
          <c:val>
            <c:numRef>
              <c:f>Sheet1!$F$6:$F$20</c:f>
              <c:numCache>
                <c:formatCode>General</c:formatCode>
                <c:ptCount val="15"/>
                <c:pt idx="0">
                  <c:v>91</c:v>
                </c:pt>
                <c:pt idx="1">
                  <c:v>617</c:v>
                </c:pt>
                <c:pt idx="2">
                  <c:v>1260</c:v>
                </c:pt>
                <c:pt idx="3">
                  <c:v>2019</c:v>
                </c:pt>
                <c:pt idx="4">
                  <c:v>3614</c:v>
                </c:pt>
                <c:pt idx="5">
                  <c:v>5348</c:v>
                </c:pt>
                <c:pt idx="6">
                  <c:v>6937</c:v>
                </c:pt>
                <c:pt idx="7">
                  <c:v>9627</c:v>
                </c:pt>
                <c:pt idx="8">
                  <c:v>11852</c:v>
                </c:pt>
                <c:pt idx="9">
                  <c:v>17118</c:v>
                </c:pt>
                <c:pt idx="10">
                  <c:v>22624</c:v>
                </c:pt>
                <c:pt idx="11">
                  <c:v>26440</c:v>
                </c:pt>
                <c:pt idx="12">
                  <c:v>31676</c:v>
                </c:pt>
                <c:pt idx="13">
                  <c:v>36651</c:v>
                </c:pt>
                <c:pt idx="14">
                  <c:v>43144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9-47EA-8B46-FC1C86346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970207"/>
        <c:axId val="1220971167"/>
      </c:lineChart>
      <c:catAx>
        <c:axId val="122097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71167"/>
        <c:crosses val="autoZero"/>
        <c:auto val="1"/>
        <c:lblAlgn val="ctr"/>
        <c:lblOffset val="100"/>
        <c:noMultiLvlLbl val="0"/>
      </c:catAx>
      <c:valAx>
        <c:axId val="122097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7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Worst</a:t>
            </a:r>
            <a:r>
              <a:rPr lang="en-CA" baseline="0"/>
              <a:t> Case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O(n^2)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Sheet1!$B$6:$B$20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</c:numCache>
            </c:numRef>
          </c:cat>
          <c:val>
            <c:numRef>
              <c:f>Sheet1!$H$6:$H$20</c:f>
              <c:numCache>
                <c:formatCode>General</c:formatCode>
                <c:ptCount val="15"/>
                <c:pt idx="0">
                  <c:v>360</c:v>
                </c:pt>
                <c:pt idx="1">
                  <c:v>1440</c:v>
                </c:pt>
                <c:pt idx="2">
                  <c:v>3239.9999999999995</c:v>
                </c:pt>
                <c:pt idx="3">
                  <c:v>5760</c:v>
                </c:pt>
                <c:pt idx="4">
                  <c:v>9000</c:v>
                </c:pt>
                <c:pt idx="5">
                  <c:v>12959.999999999998</c:v>
                </c:pt>
                <c:pt idx="6">
                  <c:v>17640</c:v>
                </c:pt>
                <c:pt idx="7">
                  <c:v>23040</c:v>
                </c:pt>
                <c:pt idx="8">
                  <c:v>29159.999999999996</c:v>
                </c:pt>
                <c:pt idx="9">
                  <c:v>36000</c:v>
                </c:pt>
                <c:pt idx="10">
                  <c:v>43560</c:v>
                </c:pt>
                <c:pt idx="11">
                  <c:v>51839.999999999993</c:v>
                </c:pt>
                <c:pt idx="12">
                  <c:v>60839.999999999993</c:v>
                </c:pt>
                <c:pt idx="13">
                  <c:v>70560</c:v>
                </c:pt>
                <c:pt idx="14">
                  <c:v>81000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E-49B6-BCB0-7598FE8849DD}"/>
            </c:ext>
          </c:extLst>
        </c:ser>
        <c:ser>
          <c:idx val="1"/>
          <c:order val="1"/>
          <c:tx>
            <c:strRef>
              <c:f>Sheet1!$G$5</c:f>
              <c:strCache>
                <c:ptCount val="1"/>
                <c:pt idx="0">
                  <c:v>Worst( 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Sheet1!$B$6:$B$20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</c:numCache>
            </c:numRef>
          </c:cat>
          <c:val>
            <c:numRef>
              <c:f>Sheet1!$G$6:$G$20</c:f>
              <c:numCache>
                <c:formatCode>General</c:formatCode>
                <c:ptCount val="15"/>
                <c:pt idx="0">
                  <c:v>243</c:v>
                </c:pt>
                <c:pt idx="1">
                  <c:v>1023</c:v>
                </c:pt>
                <c:pt idx="2">
                  <c:v>2151</c:v>
                </c:pt>
                <c:pt idx="3">
                  <c:v>4061</c:v>
                </c:pt>
                <c:pt idx="4">
                  <c:v>6379</c:v>
                </c:pt>
                <c:pt idx="5">
                  <c:v>11388</c:v>
                </c:pt>
                <c:pt idx="6">
                  <c:v>17456</c:v>
                </c:pt>
                <c:pt idx="7">
                  <c:v>22897</c:v>
                </c:pt>
                <c:pt idx="8">
                  <c:v>28495</c:v>
                </c:pt>
                <c:pt idx="9">
                  <c:v>35514</c:v>
                </c:pt>
                <c:pt idx="10">
                  <c:v>46166</c:v>
                </c:pt>
                <c:pt idx="11">
                  <c:v>47167</c:v>
                </c:pt>
                <c:pt idx="12">
                  <c:v>62445</c:v>
                </c:pt>
                <c:pt idx="13">
                  <c:v>71655</c:v>
                </c:pt>
                <c:pt idx="14">
                  <c:v>83366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E-49B6-BCB0-7598FE884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52559"/>
        <c:axId val="1221153519"/>
      </c:lineChart>
      <c:catAx>
        <c:axId val="1221152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Elements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53519"/>
        <c:crosses val="autoZero"/>
        <c:auto val="1"/>
        <c:lblAlgn val="ctr"/>
        <c:lblOffset val="100"/>
        <c:noMultiLvlLbl val="0"/>
      </c:catAx>
      <c:valAx>
        <c:axId val="12211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5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71437</xdr:rowOff>
    </xdr:from>
    <xdr:to>
      <xdr:col>18</xdr:col>
      <xdr:colOff>342900</xdr:colOff>
      <xdr:row>22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67CD27-6979-C505-7314-68F8A4CD2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371474</xdr:colOff>
      <xdr:row>23</xdr:row>
      <xdr:rowOff>100012</xdr:rowOff>
    </xdr:from>
    <xdr:to>
      <xdr:col>18</xdr:col>
      <xdr:colOff>304799</xdr:colOff>
      <xdr:row>43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B0C6D6-6CCF-1309-3E8F-99BDED41D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419099</xdr:colOff>
      <xdr:row>2</xdr:row>
      <xdr:rowOff>90486</xdr:rowOff>
    </xdr:from>
    <xdr:to>
      <xdr:col>28</xdr:col>
      <xdr:colOff>9524</xdr:colOff>
      <xdr:row>22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9AF790-A97B-368B-2B3E-B39CB009D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BA2B-FF76-46CD-8CEF-DDB1F100FB36}">
  <dimension ref="A1:H23"/>
  <sheetViews>
    <sheetView tabSelected="1" workbookViewId="0">
      <selection activeCell="E27" sqref="E27"/>
    </sheetView>
  </sheetViews>
  <sheetFormatPr defaultRowHeight="15" x14ac:dyDescent="0.25"/>
  <cols>
    <col min="6" max="6" width="12.42578125" bestFit="1" customWidth="1"/>
    <col min="7" max="7" width="10.7109375" bestFit="1" customWidth="1"/>
  </cols>
  <sheetData>
    <row r="1" spans="1:8" x14ac:dyDescent="0.25">
      <c r="A1" s="1" t="s">
        <v>7</v>
      </c>
    </row>
    <row r="5" spans="1:8" x14ac:dyDescent="0.25">
      <c r="B5" s="1" t="s">
        <v>0</v>
      </c>
      <c r="C5" s="1" t="s">
        <v>1</v>
      </c>
      <c r="D5" s="1" t="s">
        <v>2</v>
      </c>
      <c r="E5" s="1" t="s">
        <v>4</v>
      </c>
      <c r="F5" s="1" t="s">
        <v>5</v>
      </c>
      <c r="G5" s="1" t="s">
        <v>6</v>
      </c>
      <c r="H5" s="1" t="s">
        <v>2</v>
      </c>
    </row>
    <row r="6" spans="1:8" x14ac:dyDescent="0.25">
      <c r="B6">
        <v>200</v>
      </c>
      <c r="C6">
        <f>B6*$C$23</f>
        <v>3600</v>
      </c>
      <c r="D6">
        <f>B6*B6*$D$23</f>
        <v>200</v>
      </c>
      <c r="E6">
        <v>1584</v>
      </c>
      <c r="F6">
        <v>91</v>
      </c>
      <c r="G6">
        <v>243</v>
      </c>
      <c r="H6">
        <f>B6*B6*$H$23</f>
        <v>360</v>
      </c>
    </row>
    <row r="7" spans="1:8" x14ac:dyDescent="0.25">
      <c r="B7">
        <f>B6+200</f>
        <v>400</v>
      </c>
      <c r="C7">
        <f t="shared" ref="C7:C20" si="0">B7*$C$23</f>
        <v>7200</v>
      </c>
      <c r="D7">
        <f t="shared" ref="D7:D20" si="1">B7*B7*$D$23</f>
        <v>800</v>
      </c>
      <c r="E7">
        <v>5870</v>
      </c>
      <c r="F7">
        <v>617</v>
      </c>
      <c r="G7">
        <v>1023</v>
      </c>
      <c r="H7">
        <f t="shared" ref="H7:H20" si="2">B7*B7*$H$23</f>
        <v>1440</v>
      </c>
    </row>
    <row r="8" spans="1:8" x14ac:dyDescent="0.25">
      <c r="B8">
        <f t="shared" ref="B8:B20" si="3">B7+200</f>
        <v>600</v>
      </c>
      <c r="C8">
        <f t="shared" si="0"/>
        <v>10800</v>
      </c>
      <c r="D8">
        <f t="shared" si="1"/>
        <v>1800</v>
      </c>
      <c r="E8">
        <v>5551</v>
      </c>
      <c r="F8">
        <v>1260</v>
      </c>
      <c r="G8">
        <v>2151</v>
      </c>
      <c r="H8">
        <f t="shared" si="2"/>
        <v>3239.9999999999995</v>
      </c>
    </row>
    <row r="9" spans="1:8" x14ac:dyDescent="0.25">
      <c r="B9">
        <f t="shared" si="3"/>
        <v>800</v>
      </c>
      <c r="C9">
        <f t="shared" si="0"/>
        <v>14400</v>
      </c>
      <c r="D9">
        <f t="shared" si="1"/>
        <v>3200</v>
      </c>
      <c r="E9">
        <v>17486</v>
      </c>
      <c r="F9">
        <v>2019</v>
      </c>
      <c r="G9">
        <v>4061</v>
      </c>
      <c r="H9">
        <f t="shared" si="2"/>
        <v>5760</v>
      </c>
    </row>
    <row r="10" spans="1:8" x14ac:dyDescent="0.25">
      <c r="B10">
        <f t="shared" si="3"/>
        <v>1000</v>
      </c>
      <c r="C10">
        <f t="shared" si="0"/>
        <v>18000</v>
      </c>
      <c r="D10">
        <f t="shared" si="1"/>
        <v>5000</v>
      </c>
      <c r="E10">
        <v>10943</v>
      </c>
      <c r="F10">
        <v>3614</v>
      </c>
      <c r="G10">
        <v>6379</v>
      </c>
      <c r="H10">
        <f t="shared" si="2"/>
        <v>9000</v>
      </c>
    </row>
    <row r="11" spans="1:8" x14ac:dyDescent="0.25">
      <c r="B11">
        <f t="shared" si="3"/>
        <v>1200</v>
      </c>
      <c r="C11">
        <f t="shared" si="0"/>
        <v>21600</v>
      </c>
      <c r="D11">
        <f t="shared" si="1"/>
        <v>7200</v>
      </c>
      <c r="E11">
        <v>22060</v>
      </c>
      <c r="F11">
        <v>5348</v>
      </c>
      <c r="G11">
        <v>11388</v>
      </c>
      <c r="H11">
        <f t="shared" si="2"/>
        <v>12959.999999999998</v>
      </c>
    </row>
    <row r="12" spans="1:8" x14ac:dyDescent="0.25">
      <c r="B12">
        <f t="shared" si="3"/>
        <v>1400</v>
      </c>
      <c r="C12">
        <f t="shared" si="0"/>
        <v>25200</v>
      </c>
      <c r="D12">
        <f t="shared" si="1"/>
        <v>9800</v>
      </c>
      <c r="E12">
        <v>30304</v>
      </c>
      <c r="F12">
        <v>6937</v>
      </c>
      <c r="G12">
        <v>17456</v>
      </c>
      <c r="H12">
        <f t="shared" si="2"/>
        <v>17640</v>
      </c>
    </row>
    <row r="13" spans="1:8" x14ac:dyDescent="0.25">
      <c r="B13">
        <f t="shared" si="3"/>
        <v>1600</v>
      </c>
      <c r="C13">
        <f t="shared" si="0"/>
        <v>28800</v>
      </c>
      <c r="D13">
        <f t="shared" si="1"/>
        <v>12800</v>
      </c>
      <c r="E13">
        <v>20249</v>
      </c>
      <c r="F13">
        <v>9627</v>
      </c>
      <c r="G13">
        <v>22897</v>
      </c>
      <c r="H13">
        <f t="shared" si="2"/>
        <v>23040</v>
      </c>
    </row>
    <row r="14" spans="1:8" x14ac:dyDescent="0.25">
      <c r="B14">
        <f t="shared" si="3"/>
        <v>1800</v>
      </c>
      <c r="C14">
        <f t="shared" si="0"/>
        <v>32400</v>
      </c>
      <c r="D14">
        <f t="shared" si="1"/>
        <v>16200</v>
      </c>
      <c r="E14">
        <v>37855</v>
      </c>
      <c r="F14">
        <v>11852</v>
      </c>
      <c r="G14">
        <v>28495</v>
      </c>
      <c r="H14">
        <f t="shared" si="2"/>
        <v>29159.999999999996</v>
      </c>
    </row>
    <row r="15" spans="1:8" x14ac:dyDescent="0.25">
      <c r="B15">
        <f t="shared" si="3"/>
        <v>2000</v>
      </c>
      <c r="C15">
        <f t="shared" si="0"/>
        <v>36000</v>
      </c>
      <c r="D15">
        <f t="shared" si="1"/>
        <v>20000</v>
      </c>
      <c r="E15">
        <v>36558</v>
      </c>
      <c r="F15">
        <v>17118</v>
      </c>
      <c r="G15">
        <v>35514</v>
      </c>
      <c r="H15">
        <f t="shared" si="2"/>
        <v>36000</v>
      </c>
    </row>
    <row r="16" spans="1:8" x14ac:dyDescent="0.25">
      <c r="B16">
        <f t="shared" si="3"/>
        <v>2200</v>
      </c>
      <c r="C16">
        <f t="shared" si="0"/>
        <v>39600</v>
      </c>
      <c r="D16">
        <f t="shared" si="1"/>
        <v>24200</v>
      </c>
      <c r="E16">
        <v>47190</v>
      </c>
      <c r="F16">
        <v>22624</v>
      </c>
      <c r="G16">
        <v>46166</v>
      </c>
      <c r="H16">
        <f t="shared" si="2"/>
        <v>43560</v>
      </c>
    </row>
    <row r="17" spans="2:8" x14ac:dyDescent="0.25">
      <c r="B17">
        <f t="shared" si="3"/>
        <v>2400</v>
      </c>
      <c r="C17">
        <f t="shared" si="0"/>
        <v>43200</v>
      </c>
      <c r="D17">
        <f t="shared" si="1"/>
        <v>28800</v>
      </c>
      <c r="E17">
        <v>40431</v>
      </c>
      <c r="F17">
        <v>26440</v>
      </c>
      <c r="G17">
        <v>47167</v>
      </c>
      <c r="H17">
        <f t="shared" si="2"/>
        <v>51839.999999999993</v>
      </c>
    </row>
    <row r="18" spans="2:8" x14ac:dyDescent="0.25">
      <c r="B18">
        <f t="shared" si="3"/>
        <v>2600</v>
      </c>
      <c r="C18">
        <f t="shared" si="0"/>
        <v>46800</v>
      </c>
      <c r="D18">
        <f t="shared" si="1"/>
        <v>33800</v>
      </c>
      <c r="E18">
        <v>39873</v>
      </c>
      <c r="F18">
        <v>31676</v>
      </c>
      <c r="G18">
        <v>62445</v>
      </c>
      <c r="H18">
        <f t="shared" si="2"/>
        <v>60839.999999999993</v>
      </c>
    </row>
    <row r="19" spans="2:8" x14ac:dyDescent="0.25">
      <c r="B19">
        <f t="shared" si="3"/>
        <v>2800</v>
      </c>
      <c r="C19">
        <f t="shared" si="0"/>
        <v>50400</v>
      </c>
      <c r="D19">
        <f t="shared" si="1"/>
        <v>39200</v>
      </c>
      <c r="E19">
        <v>42217</v>
      </c>
      <c r="F19">
        <v>36651</v>
      </c>
      <c r="G19">
        <v>71655</v>
      </c>
      <c r="H19">
        <f t="shared" si="2"/>
        <v>70560</v>
      </c>
    </row>
    <row r="20" spans="2:8" x14ac:dyDescent="0.25">
      <c r="B20">
        <f t="shared" si="3"/>
        <v>3000</v>
      </c>
      <c r="C20">
        <f t="shared" si="0"/>
        <v>54000</v>
      </c>
      <c r="D20">
        <f t="shared" si="1"/>
        <v>45000</v>
      </c>
      <c r="E20">
        <v>55198</v>
      </c>
      <c r="F20">
        <v>43144</v>
      </c>
      <c r="G20">
        <v>83366</v>
      </c>
      <c r="H20">
        <f t="shared" si="2"/>
        <v>81000</v>
      </c>
    </row>
    <row r="23" spans="2:8" x14ac:dyDescent="0.25">
      <c r="B23" t="s">
        <v>3</v>
      </c>
      <c r="C23">
        <v>18</v>
      </c>
      <c r="D23">
        <v>5.0000000000000001E-3</v>
      </c>
      <c r="H23">
        <v>8.9999999999999993E-3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6746-3155-4262-A333-0A06389A39A4}">
  <dimension ref="A1:N16"/>
  <sheetViews>
    <sheetView workbookViewId="0">
      <selection activeCell="D31" sqref="D31"/>
    </sheetView>
  </sheetViews>
  <sheetFormatPr defaultRowHeight="15" x14ac:dyDescent="0.25"/>
  <sheetData>
    <row r="1" spans="1:14" x14ac:dyDescent="0.25">
      <c r="A1">
        <v>91</v>
      </c>
      <c r="C1">
        <v>1.5673022717237399</v>
      </c>
      <c r="D1">
        <f t="shared" ref="D1:D14" si="0">ROUNDDOWN(C1*1000,0)</f>
        <v>1567</v>
      </c>
      <c r="F1">
        <v>243.83920384570899</v>
      </c>
      <c r="G1">
        <f>ROUNDDOWN(F1,0)</f>
        <v>243</v>
      </c>
      <c r="H1">
        <v>200</v>
      </c>
      <c r="I1">
        <v>1.5840982086956501</v>
      </c>
      <c r="J1">
        <f>ROUNDDOWN(I1*1000,0)</f>
        <v>1584</v>
      </c>
      <c r="N1" t="s">
        <v>4</v>
      </c>
    </row>
    <row r="2" spans="1:14" x14ac:dyDescent="0.25">
      <c r="A2">
        <v>617</v>
      </c>
      <c r="C2">
        <v>3.4769009798765098</v>
      </c>
      <c r="D2">
        <f t="shared" si="0"/>
        <v>3476</v>
      </c>
      <c r="F2">
        <v>1023.05169869214</v>
      </c>
      <c r="G2">
        <f t="shared" ref="G2:G15" si="1">ROUNDDOWN(F2,0)</f>
        <v>1023</v>
      </c>
      <c r="H2">
        <v>400</v>
      </c>
      <c r="I2">
        <v>5.8702989481389496</v>
      </c>
      <c r="J2">
        <f t="shared" ref="J2:J15" si="2">ROUNDDOWN(I2*1000,0)</f>
        <v>5870</v>
      </c>
      <c r="N2">
        <v>1567</v>
      </c>
    </row>
    <row r="3" spans="1:14" x14ac:dyDescent="0.25">
      <c r="A3">
        <v>1260</v>
      </c>
      <c r="C3">
        <v>12.356104329228399</v>
      </c>
      <c r="D3">
        <f t="shared" si="0"/>
        <v>12356</v>
      </c>
      <c r="F3">
        <v>2151.2554008513598</v>
      </c>
      <c r="G3">
        <f t="shared" si="1"/>
        <v>2151</v>
      </c>
      <c r="H3">
        <v>600</v>
      </c>
      <c r="I3">
        <v>5.55129628628492</v>
      </c>
      <c r="J3">
        <f t="shared" si="2"/>
        <v>5551</v>
      </c>
      <c r="N3">
        <v>3476</v>
      </c>
    </row>
    <row r="4" spans="1:14" x14ac:dyDescent="0.25">
      <c r="A4">
        <v>2019</v>
      </c>
      <c r="C4">
        <v>18.7969985418021</v>
      </c>
      <c r="D4">
        <f t="shared" si="0"/>
        <v>18796</v>
      </c>
      <c r="F4">
        <v>4061.5933011285902</v>
      </c>
      <c r="G4">
        <f t="shared" si="1"/>
        <v>4061</v>
      </c>
      <c r="H4">
        <v>800</v>
      </c>
      <c r="I4">
        <v>17.486999742686699</v>
      </c>
      <c r="J4">
        <f t="shared" si="2"/>
        <v>17486</v>
      </c>
      <c r="N4">
        <v>12356</v>
      </c>
    </row>
    <row r="5" spans="1:14" x14ac:dyDescent="0.25">
      <c r="A5">
        <v>3614</v>
      </c>
      <c r="C5">
        <v>9.5432004891335893</v>
      </c>
      <c r="D5">
        <f t="shared" si="0"/>
        <v>9543</v>
      </c>
      <c r="F5">
        <v>6379.0034013800296</v>
      </c>
      <c r="G5">
        <f t="shared" si="1"/>
        <v>6379</v>
      </c>
      <c r="H5">
        <v>1000</v>
      </c>
      <c r="I5">
        <v>10.943799279630101</v>
      </c>
      <c r="J5">
        <f t="shared" si="2"/>
        <v>10943</v>
      </c>
      <c r="N5">
        <v>18796</v>
      </c>
    </row>
    <row r="6" spans="1:14" x14ac:dyDescent="0.25">
      <c r="A6">
        <v>5348</v>
      </c>
      <c r="C6">
        <v>13.977100607007699</v>
      </c>
      <c r="D6">
        <f t="shared" si="0"/>
        <v>13977</v>
      </c>
      <c r="F6">
        <v>11388.7215987779</v>
      </c>
      <c r="G6">
        <f t="shared" si="1"/>
        <v>11388</v>
      </c>
      <c r="H6">
        <v>1200</v>
      </c>
      <c r="I6">
        <v>22.0603994093835</v>
      </c>
      <c r="J6">
        <f t="shared" si="2"/>
        <v>22060</v>
      </c>
      <c r="N6">
        <v>9543</v>
      </c>
    </row>
    <row r="7" spans="1:14" x14ac:dyDescent="0.25">
      <c r="A7">
        <v>6937</v>
      </c>
      <c r="C7">
        <v>19.407703075557901</v>
      </c>
      <c r="D7">
        <f t="shared" si="0"/>
        <v>19407</v>
      </c>
      <c r="F7">
        <v>17456.165700219499</v>
      </c>
      <c r="G7">
        <f t="shared" si="1"/>
        <v>17456</v>
      </c>
      <c r="H7">
        <v>1400</v>
      </c>
      <c r="I7">
        <v>30.3049036301672</v>
      </c>
      <c r="J7">
        <f t="shared" si="2"/>
        <v>30304</v>
      </c>
      <c r="N7">
        <v>13977</v>
      </c>
    </row>
    <row r="8" spans="1:14" x14ac:dyDescent="0.25">
      <c r="A8">
        <v>9627</v>
      </c>
      <c r="C8">
        <v>19.628302194178101</v>
      </c>
      <c r="D8">
        <f t="shared" si="0"/>
        <v>19628</v>
      </c>
      <c r="F8">
        <v>22897.966898977698</v>
      </c>
      <c r="G8">
        <f t="shared" si="1"/>
        <v>22897</v>
      </c>
      <c r="H8">
        <v>1600</v>
      </c>
      <c r="I8">
        <v>20.249998662620701</v>
      </c>
      <c r="J8">
        <f t="shared" si="2"/>
        <v>20249</v>
      </c>
      <c r="N8">
        <v>19407</v>
      </c>
    </row>
    <row r="9" spans="1:14" x14ac:dyDescent="0.25">
      <c r="A9">
        <v>11852</v>
      </c>
      <c r="C9">
        <v>20.176396705210198</v>
      </c>
      <c r="D9">
        <f t="shared" si="0"/>
        <v>20176</v>
      </c>
      <c r="F9">
        <v>28495.244300924202</v>
      </c>
      <c r="G9">
        <f t="shared" si="1"/>
        <v>28495</v>
      </c>
      <c r="H9">
        <v>1800</v>
      </c>
      <c r="I9">
        <v>37.855599541217003</v>
      </c>
      <c r="J9">
        <f t="shared" si="2"/>
        <v>37855</v>
      </c>
      <c r="N9">
        <v>19628</v>
      </c>
    </row>
    <row r="10" spans="1:14" x14ac:dyDescent="0.25">
      <c r="A10">
        <v>17118</v>
      </c>
      <c r="C10">
        <v>27.3319999687373</v>
      </c>
      <c r="D10">
        <f t="shared" si="0"/>
        <v>27331</v>
      </c>
      <c r="F10">
        <v>35514.7099983878</v>
      </c>
      <c r="G10">
        <f t="shared" si="1"/>
        <v>35514</v>
      </c>
      <c r="H10">
        <v>2000</v>
      </c>
      <c r="I10">
        <v>36.558902356773601</v>
      </c>
      <c r="J10">
        <f t="shared" si="2"/>
        <v>36558</v>
      </c>
      <c r="N10">
        <v>20176</v>
      </c>
    </row>
    <row r="11" spans="1:14" x14ac:dyDescent="0.25">
      <c r="A11">
        <v>22624</v>
      </c>
      <c r="C11">
        <v>42.019601911306303</v>
      </c>
      <c r="D11">
        <f t="shared" si="0"/>
        <v>42019</v>
      </c>
      <c r="F11">
        <v>46166.070999577598</v>
      </c>
      <c r="G11">
        <f t="shared" si="1"/>
        <v>46166</v>
      </c>
      <c r="H11">
        <v>2200</v>
      </c>
      <c r="I11">
        <v>47.190901823341797</v>
      </c>
      <c r="J11">
        <f t="shared" si="2"/>
        <v>47190</v>
      </c>
      <c r="N11">
        <v>27331</v>
      </c>
    </row>
    <row r="12" spans="1:14" x14ac:dyDescent="0.25">
      <c r="A12">
        <v>26440</v>
      </c>
      <c r="C12">
        <v>49.937698990106497</v>
      </c>
      <c r="D12">
        <f t="shared" si="0"/>
        <v>49937</v>
      </c>
      <c r="F12">
        <v>47167.206903919498</v>
      </c>
      <c r="G12">
        <f t="shared" si="1"/>
        <v>47167</v>
      </c>
      <c r="H12">
        <v>2400</v>
      </c>
      <c r="I12">
        <v>40.431497618556001</v>
      </c>
      <c r="J12">
        <f t="shared" si="2"/>
        <v>40431</v>
      </c>
      <c r="N12">
        <v>42019</v>
      </c>
    </row>
    <row r="13" spans="1:14" x14ac:dyDescent="0.25">
      <c r="A13">
        <v>31676</v>
      </c>
      <c r="C13">
        <v>44.476402457803403</v>
      </c>
      <c r="D13">
        <f t="shared" si="0"/>
        <v>44476</v>
      </c>
      <c r="F13">
        <v>62445.9564024582</v>
      </c>
      <c r="G13">
        <f t="shared" si="1"/>
        <v>62445</v>
      </c>
      <c r="H13">
        <v>2600</v>
      </c>
      <c r="I13">
        <v>39.873200934380201</v>
      </c>
      <c r="J13">
        <f t="shared" si="2"/>
        <v>39873</v>
      </c>
      <c r="N13">
        <v>49937</v>
      </c>
    </row>
    <row r="14" spans="1:14" x14ac:dyDescent="0.25">
      <c r="A14">
        <v>36651</v>
      </c>
      <c r="C14">
        <v>49.333898816257701</v>
      </c>
      <c r="D14">
        <f t="shared" si="0"/>
        <v>49333</v>
      </c>
      <c r="F14">
        <v>71655.823899898605</v>
      </c>
      <c r="G14">
        <f t="shared" si="1"/>
        <v>71655</v>
      </c>
      <c r="H14">
        <v>2800</v>
      </c>
      <c r="I14">
        <v>42.217201553285101</v>
      </c>
      <c r="J14">
        <f t="shared" si="2"/>
        <v>42217</v>
      </c>
      <c r="N14">
        <v>44476</v>
      </c>
    </row>
    <row r="15" spans="1:14" x14ac:dyDescent="0.25">
      <c r="A15">
        <v>43144</v>
      </c>
      <c r="C15">
        <v>67.545096855610595</v>
      </c>
      <c r="D15">
        <f>ROUNDDOWN(C15*1000,0)</f>
        <v>67545</v>
      </c>
      <c r="F15">
        <v>83366.544499527605</v>
      </c>
      <c r="G15">
        <f t="shared" si="1"/>
        <v>83366</v>
      </c>
      <c r="H15">
        <v>3000</v>
      </c>
      <c r="I15">
        <v>55.198896676301899</v>
      </c>
      <c r="J15">
        <f t="shared" si="2"/>
        <v>55198</v>
      </c>
      <c r="N15">
        <v>49333</v>
      </c>
    </row>
    <row r="16" spans="1:14" x14ac:dyDescent="0.25">
      <c r="N16">
        <v>67545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arjn6770</dc:creator>
  <cp:lastModifiedBy>Arjn Uppal</cp:lastModifiedBy>
  <dcterms:created xsi:type="dcterms:W3CDTF">2026-03-16T20:05:32Z</dcterms:created>
  <dcterms:modified xsi:type="dcterms:W3CDTF">2026-03-17T01:31:42Z</dcterms:modified>
</cp:coreProperties>
</file>